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<sst xmlns="http://schemas.openxmlformats.org/spreadsheetml/2006/main" count="160" uniqueCount="116">
  <si>
    <t xml:space="preserve">#</t>
  </si>
  <si>
    <t xml:space="preserve">Designator(s)</t>
  </si>
  <si>
    <t xml:space="preserve">Component</t>
  </si>
  <si>
    <t xml:space="preserve">MPN</t>
  </si>
  <si>
    <t xml:space="preserve">Package</t>
  </si>
  <si>
    <t xml:space="preserve">Qty</t>
  </si>
  <si>
    <t xml:space="preserve">Unit $</t>
  </si>
  <si>
    <t xml:space="preserve">Line $</t>
  </si>
  <si>
    <t xml:space="preserve">Distributor</t>
  </si>
  <si>
    <t xml:space="preserve">Source / notes</t>
  </si>
  <si>
    <t xml:space="preserve">DIAL BOARD + MASK</t>
  </si>
  <si>
    <t xml:space="preserve">D1–D132</t>
  </si>
  <si>
    <t xml:space="preserve">LED 0201 (per-ring colors)</t>
  </si>
  <si>
    <t xml:space="preserve">Kingbright APG0201xxC-TT</t>
  </si>
  <si>
    <t xml:space="preserve">0201</t>
  </si>
  <si>
    <t xml:space="preserve">DigiKey/LCSC</t>
  </si>
  <si>
    <t xml:space="preserve">132 = 60 sec + 60 min + 12 hour (GMT dropped). ~$0.21@100. Wired in the driver's matrix grid, not Charlieplex.</t>
  </si>
  <si>
    <t xml:space="preserve">J1(dial)</t>
  </si>
  <si>
    <t xml:space="preserve">Board-to-board hdr</t>
  </si>
  <si>
    <t xml:space="preserve">matrix rows/cols + V + GND</t>
  </si>
  <si>
    <t xml:space="preserve">—</t>
  </si>
  <si>
    <t xml:space="preserve">LCSC</t>
  </si>
  <si>
    <t xml:space="preserve">Carries the driver matrix lines to the dial.</t>
  </si>
  <si>
    <t xml:space="preserve">Dial PCB 2-layer 37mm</t>
  </si>
  <si>
    <t xml:space="preserve">custom</t>
  </si>
  <si>
    <t xml:space="preserve">JLCPCB</t>
  </si>
  <si>
    <t xml:space="preserve">Driver matrix grid is simpler than 4-layer Charlieplex; may drop to 2-layer. ENIG, black mask.</t>
  </si>
  <si>
    <t xml:space="preserve">Mask / light-guide plate</t>
  </si>
  <si>
    <t xml:space="preserve">JLCPCB/3D</t>
  </si>
  <si>
    <t xml:space="preserve">Branded HUME mask: flush square second guides + raised hour/minute pipes. Evolved from alignment plate.</t>
  </si>
  <si>
    <t xml:space="preserve">CONTROLLER BOARD (ATtiny3217 + IS31FL3743A)</t>
  </si>
  <si>
    <t xml:space="preserve">U1</t>
  </si>
  <si>
    <t xml:space="preserve">MCU ATtiny3217</t>
  </si>
  <si>
    <t xml:space="preserve">ATTINY3217-MFR</t>
  </si>
  <si>
    <t xml:space="preserve">QFN-24</t>
  </si>
  <si>
    <t xml:space="preserve">~$1.04 LCSC (-MFR). 22 I/O, ~7 used. Replaces ATmega328.</t>
  </si>
  <si>
    <t xml:space="preserve">U2</t>
  </si>
  <si>
    <t xml:space="preserve">LED matrix driver</t>
  </si>
  <si>
    <t xml:space="preserve">IS31FL3743A</t>
  </si>
  <si>
    <t xml:space="preserve">QFN</t>
  </si>
  <si>
    <t xml:space="preserve">LCSC/DigiKey</t>
  </si>
  <si>
    <t xml:space="preserve">198 LEDs, 8-bit hw PWM each, I2C. ~$1 @10k. Chain up to 4 for ~400+ LEDs.</t>
  </si>
  <si>
    <t xml:space="preserve">U3</t>
  </si>
  <si>
    <t xml:space="preserve">RTC</t>
  </si>
  <si>
    <t xml:space="preserve">RV-3028-C7</t>
  </si>
  <si>
    <t xml:space="preserve">SON-8</t>
  </si>
  <si>
    <t xml:space="preserve">45nA timebase, I2C.</t>
  </si>
  <si>
    <t xml:space="preserve">U4</t>
  </si>
  <si>
    <t xml:space="preserve">Accelerometer</t>
  </si>
  <si>
    <t xml:space="preserve">LIS2DH12TR</t>
  </si>
  <si>
    <t xml:space="preserve">LGA-12</t>
  </si>
  <si>
    <t xml:space="preserve">Wrist-raise wake, I2C+INT.</t>
  </si>
  <si>
    <t xml:space="preserve">U5</t>
  </si>
  <si>
    <t xml:space="preserve">LiPo charger</t>
  </si>
  <si>
    <t xml:space="preserve">MCP73831T-2ACI/OT</t>
  </si>
  <si>
    <t xml:space="preserve">SOT-23-5</t>
  </si>
  <si>
    <t xml:space="preserve">DigiKey</t>
  </si>
  <si>
    <t xml:space="preserve">U6</t>
  </si>
  <si>
    <t xml:space="preserve">LDO 3.3V low-Iq</t>
  </si>
  <si>
    <t xml:space="preserve">TPS7A2033PDBVR</t>
  </si>
  <si>
    <t xml:space="preserve">~25nA Iq.</t>
  </si>
  <si>
    <t xml:space="preserve">R1</t>
  </si>
  <si>
    <t xml:space="preserve">R_EXT (sets array current)</t>
  </si>
  <si>
    <t xml:space="preserve">generic 0402 1%</t>
  </si>
  <si>
    <t xml:space="preserve">0402</t>
  </si>
  <si>
    <t xml:space="preserve">ONE resistor sets full-scale LED current. Replaces the 13 Charlieplex resistors.</t>
  </si>
  <si>
    <t xml:space="preserve">R2–R3</t>
  </si>
  <si>
    <t xml:space="preserve">I2C pull-ups 4.7k</t>
  </si>
  <si>
    <t xml:space="preserve">generic 0402</t>
  </si>
  <si>
    <t xml:space="preserve">C1–C8</t>
  </si>
  <si>
    <t xml:space="preserve">Decoupling 0.1µF/1µF</t>
  </si>
  <si>
    <t xml:space="preserve">MCU/driver/RTC/accel/LDO.</t>
  </si>
  <si>
    <t xml:space="preserve">BT1</t>
  </si>
  <si>
    <t xml:space="preserve">Protected LiPo cell</t>
  </si>
  <si>
    <t xml:space="preserve">110mAh pouch w/ PCM</t>
  </si>
  <si>
    <t xml:space="preserve">varies</t>
  </si>
  <si>
    <t xml:space="preserve">Mandatory protection (skin contact). Sets case depth.</t>
  </si>
  <si>
    <t xml:space="preserve">Q1</t>
  </si>
  <si>
    <t xml:space="preserve">Reverse-prot / dead-pad FET</t>
  </si>
  <si>
    <t xml:space="preserve">generic SOT</t>
  </si>
  <si>
    <t xml:space="preserve">SOT-23</t>
  </si>
  <si>
    <t xml:space="preserve">Charge-path protection + dead pads until charger detected.</t>
  </si>
  <si>
    <t xml:space="preserve">J1(ctrl)</t>
  </si>
  <si>
    <t xml:space="preserve">B2B hdr (mate)</t>
  </si>
  <si>
    <t xml:space="preserve">generic</t>
  </si>
  <si>
    <t xml:space="preserve">Mates dial J1.</t>
  </si>
  <si>
    <t xml:space="preserve">Controller PCB 2-layer ~31mm</t>
  </si>
  <si>
    <t xml:space="preserve">Sparse 2-layer.</t>
  </si>
  <si>
    <t xml:space="preserve">CASE / OPTICS / MECHANICAL</t>
  </si>
  <si>
    <t xml:space="preserve">Seiko-mod case 39.5mm</t>
  </si>
  <si>
    <t xml:space="preserve">off-the-shelf</t>
  </si>
  <si>
    <t xml:space="preserve">watch-mod</t>
  </si>
  <si>
    <t xml:space="preserve">Sub-style; price varies.</t>
  </si>
  <si>
    <t xml:space="preserve">Sapphire crystal (domed)</t>
  </si>
  <si>
    <t xml:space="preserve">Bezel / chapter ring</t>
  </si>
  <si>
    <t xml:space="preserve">Plain bezel now (GMT 24h scale dropped).</t>
  </si>
  <si>
    <t xml:space="preserve">PMMA fiber / acrylic pipe stock</t>
  </si>
  <si>
    <t xml:space="preserve">bulk</t>
  </si>
  <si>
    <t xml:space="preserve">For 132 guides + raised hand pipes.</t>
  </si>
  <si>
    <t xml:space="preserve">Magnetic charging puck</t>
  </si>
  <si>
    <t xml:space="preserve">DIY/off-the-shelf</t>
  </si>
  <si>
    <t xml:space="preserve">Pogo pins + magnet; external.</t>
  </si>
  <si>
    <t xml:space="preserve">Strap</t>
  </si>
  <si>
    <t xml:space="preserve">Dial+mask subtotal</t>
  </si>
  <si>
    <t xml:space="preserve">Controller subtotal</t>
  </si>
  <si>
    <t xml:space="preserve">Case/optics subtotal</t>
  </si>
  <si>
    <t xml:space="preserve">PER-WATCH TOTAL (1 unit)</t>
  </si>
  <si>
    <t xml:space="preserve">NOTES &amp; ASSUMPTIONS (rev 2 — ATtiny3217 + IS31FL3743A, GMT dropped)</t>
  </si>
  <si>
    <t xml:space="preserve">• Architecture reworked: dedicated LED matrix driver (IS31FL3743A) replaces MCU-bit-banged Charlieplexing. One driver = 198 LEDs; chain up to 4 for ~400+. Scales by adding drivers, not MCU pins.</t>
  </si>
  <si>
    <t xml:space="preserve">• 132 LEDs now (60 sec + 60 min + 12 hour). GMT complication dropped.</t>
  </si>
  <si>
    <t xml:space="preserve">• Dropped the 13 Charlieplex series resistors — driver uses ONE external R_EXT to set array current.</t>
  </si>
  <si>
    <t xml:space="preserve">• ATtiny3217 (~$1.04 LCSC) replaces ATmega328P. RTC/accel/charger/LDO unchanged.</t>
  </si>
  <si>
    <t xml:space="preserve">• Prices are small-buy estimates gathered June 2026 (LCSC/DigiKey). Verify live before ordering.</t>
  </si>
  <si>
    <t xml:space="preserve">• Blue cells = editable inputs (qty, unit price). Line totals + subtotals recalculate.</t>
  </si>
  <si>
    <t xml:space="preserve">• Excludes shipping, assembly/stencil, tariffs, PCB NRE (amortize over a batch).</t>
  </si>
  <si>
    <t xml:space="preserve">• If you scale LED count up, add IS31FL3743A driver(s) (~$1 each) on the same I2C bus + more LEDs.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</si>
</sst>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0"/>
    <numFmt numFmtId="166" formatCode="\$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D6DCE4"/>
        <bgColor rgb="FFCCFF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14"/>
    <col collapsed="false" customWidth="true" hidden="false" outlineLevel="0" max="6" min="6" style="0" width="6"/>
    <col collapsed="false" customWidth="true" hidden="false" outlineLevel="0" max="7" min="7" style="0" width="9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46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41.75" hidden="false" customHeight="false" outlineLevel="0" collapsed="false">
      <c r="A3" s="3" t="n">
        <v>1</v>
      </c>
      <c r="B3" s="3" t="s">
        <v>11</v>
      </c>
      <c r="C3" s="4" t="s">
        <v>12</v>
      </c>
      <c r="D3" s="3" t="s">
        <v>13</v>
      </c>
      <c r="E3" s="3" t="s">
        <v>14</v>
      </c>
      <c r="F3" s="5" t="n">
        <v>132</v>
      </c>
      <c r="G3" s="6" t="n">
        <v>0.21</v>
      </c>
      <c r="H3" s="7" t="n">
        <f aca="false">F3*G3</f>
        <v>27.72</v>
      </c>
      <c r="I3" s="3" t="s">
        <v>15</v>
      </c>
      <c r="J3" s="4" t="s">
        <v>16</v>
      </c>
    </row>
    <row r="4" customFormat="false" ht="15" hidden="false" customHeight="false" outlineLevel="0" collapsed="false">
      <c r="A4" s="3" t="n">
        <v>2</v>
      </c>
      <c r="B4" s="3" t="s">
        <v>17</v>
      </c>
      <c r="C4" s="4" t="s">
        <v>18</v>
      </c>
      <c r="D4" s="3" t="s">
        <v>19</v>
      </c>
      <c r="E4" s="3" t="s">
        <v>20</v>
      </c>
      <c r="F4" s="5" t="n">
        <v>1</v>
      </c>
      <c r="G4" s="6" t="n">
        <v>0.4</v>
      </c>
      <c r="H4" s="7" t="n">
        <f aca="false">F4*G4</f>
        <v>0.4</v>
      </c>
      <c r="I4" s="3" t="s">
        <v>21</v>
      </c>
      <c r="J4" s="4" t="s">
        <v>22</v>
      </c>
    </row>
    <row r="5" customFormat="false" ht="28.35" hidden="false" customHeight="false" outlineLevel="0" collapsed="false">
      <c r="A5" s="3" t="n">
        <v>3</v>
      </c>
      <c r="B5" s="3" t="s">
        <v>20</v>
      </c>
      <c r="C5" s="4" t="s">
        <v>23</v>
      </c>
      <c r="D5" s="3" t="s">
        <v>24</v>
      </c>
      <c r="E5" s="3" t="s">
        <v>20</v>
      </c>
      <c r="F5" s="5" t="n">
        <v>1</v>
      </c>
      <c r="G5" s="6" t="n">
        <v>5</v>
      </c>
      <c r="H5" s="7" t="n">
        <f aca="false">F5*G5</f>
        <v>5</v>
      </c>
      <c r="I5" s="3" t="s">
        <v>25</v>
      </c>
      <c r="J5" s="4" t="s">
        <v>26</v>
      </c>
    </row>
    <row r="6" customFormat="false" ht="41.75" hidden="false" customHeight="false" outlineLevel="0" collapsed="false">
      <c r="A6" s="3" t="n">
        <v>4</v>
      </c>
      <c r="B6" s="3" t="s">
        <v>20</v>
      </c>
      <c r="C6" s="4" t="s">
        <v>27</v>
      </c>
      <c r="D6" s="3" t="s">
        <v>24</v>
      </c>
      <c r="E6" s="3" t="s">
        <v>20</v>
      </c>
      <c r="F6" s="5" t="n">
        <v>1</v>
      </c>
      <c r="G6" s="6" t="n">
        <v>5.5</v>
      </c>
      <c r="H6" s="7" t="n">
        <f aca="false">F6*G6</f>
        <v>5.5</v>
      </c>
      <c r="I6" s="3" t="s">
        <v>28</v>
      </c>
      <c r="J6" s="4" t="s">
        <v>29</v>
      </c>
    </row>
    <row r="7" customFormat="false" ht="15" hidden="false" customHeight="false" outlineLevel="0" collapsed="false">
      <c r="A7" s="2" t="s">
        <v>30</v>
      </c>
      <c r="B7" s="2"/>
      <c r="C7" s="2"/>
      <c r="D7" s="2"/>
      <c r="E7" s="2"/>
      <c r="F7" s="2"/>
      <c r="G7" s="2"/>
      <c r="H7" s="2"/>
      <c r="I7" s="2"/>
      <c r="J7" s="2"/>
    </row>
    <row r="8" customFormat="false" ht="28.35" hidden="false" customHeight="false" outlineLevel="0" collapsed="false">
      <c r="A8" s="3" t="n">
        <v>6</v>
      </c>
      <c r="B8" s="3" t="s">
        <v>31</v>
      </c>
      <c r="C8" s="4" t="s">
        <v>32</v>
      </c>
      <c r="D8" s="3" t="s">
        <v>33</v>
      </c>
      <c r="E8" s="3" t="s">
        <v>34</v>
      </c>
      <c r="F8" s="5" t="n">
        <v>1</v>
      </c>
      <c r="G8" s="6" t="n">
        <v>1.05</v>
      </c>
      <c r="H8" s="7" t="n">
        <f aca="false">F8*G8</f>
        <v>1.05</v>
      </c>
      <c r="I8" s="3" t="s">
        <v>21</v>
      </c>
      <c r="J8" s="4" t="s">
        <v>35</v>
      </c>
    </row>
    <row r="9" customFormat="false" ht="28.35" hidden="false" customHeight="false" outlineLevel="0" collapsed="false">
      <c r="A9" s="3" t="n">
        <v>7</v>
      </c>
      <c r="B9" s="3" t="s">
        <v>36</v>
      </c>
      <c r="C9" s="4" t="s">
        <v>37</v>
      </c>
      <c r="D9" s="3" t="s">
        <v>38</v>
      </c>
      <c r="E9" s="3" t="s">
        <v>39</v>
      </c>
      <c r="F9" s="5" t="n">
        <v>1</v>
      </c>
      <c r="G9" s="6" t="n">
        <v>1</v>
      </c>
      <c r="H9" s="7" t="n">
        <f aca="false">F9*G9</f>
        <v>1</v>
      </c>
      <c r="I9" s="3" t="s">
        <v>40</v>
      </c>
      <c r="J9" s="4" t="s">
        <v>41</v>
      </c>
    </row>
    <row r="10" customFormat="false" ht="15" hidden="false" customHeight="false" outlineLevel="0" collapsed="false">
      <c r="A10" s="3" t="n">
        <v>8</v>
      </c>
      <c r="B10" s="3" t="s">
        <v>42</v>
      </c>
      <c r="C10" s="4" t="s">
        <v>43</v>
      </c>
      <c r="D10" s="3" t="s">
        <v>44</v>
      </c>
      <c r="E10" s="3" t="s">
        <v>45</v>
      </c>
      <c r="F10" s="5" t="n">
        <v>1</v>
      </c>
      <c r="G10" s="6" t="n">
        <v>1.49</v>
      </c>
      <c r="H10" s="7" t="n">
        <f aca="false">F10*G10</f>
        <v>1.49</v>
      </c>
      <c r="I10" s="3" t="s">
        <v>21</v>
      </c>
      <c r="J10" s="4" t="s">
        <v>46</v>
      </c>
    </row>
    <row r="11" customFormat="false" ht="15" hidden="false" customHeight="false" outlineLevel="0" collapsed="false">
      <c r="A11" s="3" t="n">
        <v>9</v>
      </c>
      <c r="B11" s="3" t="s">
        <v>47</v>
      </c>
      <c r="C11" s="4" t="s">
        <v>48</v>
      </c>
      <c r="D11" s="3" t="s">
        <v>49</v>
      </c>
      <c r="E11" s="3" t="s">
        <v>50</v>
      </c>
      <c r="F11" s="5" t="n">
        <v>1</v>
      </c>
      <c r="G11" s="6" t="n">
        <v>0.45</v>
      </c>
      <c r="H11" s="7" t="n">
        <f aca="false">F11*G11</f>
        <v>0.45</v>
      </c>
      <c r="I11" s="3" t="s">
        <v>21</v>
      </c>
      <c r="J11" s="4" t="s">
        <v>51</v>
      </c>
    </row>
    <row r="12" customFormat="false" ht="15" hidden="false" customHeight="false" outlineLevel="0" collapsed="false">
      <c r="A12" s="3" t="n">
        <v>10</v>
      </c>
      <c r="B12" s="3" t="s">
        <v>52</v>
      </c>
      <c r="C12" s="4" t="s">
        <v>53</v>
      </c>
      <c r="D12" s="3" t="s">
        <v>54</v>
      </c>
      <c r="E12" s="3" t="s">
        <v>55</v>
      </c>
      <c r="F12" s="5" t="n">
        <v>1</v>
      </c>
      <c r="G12" s="6" t="n">
        <v>0.76</v>
      </c>
      <c r="H12" s="7" t="n">
        <f aca="false">F12*G12</f>
        <v>0.76</v>
      </c>
      <c r="I12" s="3" t="s">
        <v>56</v>
      </c>
      <c r="J12" s="4"/>
    </row>
    <row r="13" customFormat="false" ht="15" hidden="false" customHeight="false" outlineLevel="0" collapsed="false">
      <c r="A13" s="3" t="n">
        <v>11</v>
      </c>
      <c r="B13" s="3" t="s">
        <v>57</v>
      </c>
      <c r="C13" s="4" t="s">
        <v>58</v>
      </c>
      <c r="D13" s="3" t="s">
        <v>59</v>
      </c>
      <c r="E13" s="3" t="s">
        <v>55</v>
      </c>
      <c r="F13" s="5" t="n">
        <v>1</v>
      </c>
      <c r="G13" s="6" t="n">
        <v>0.33</v>
      </c>
      <c r="H13" s="7" t="n">
        <f aca="false">F13*G13</f>
        <v>0.33</v>
      </c>
      <c r="I13" s="3" t="s">
        <v>56</v>
      </c>
      <c r="J13" s="4" t="s">
        <v>60</v>
      </c>
    </row>
    <row r="14" customFormat="false" ht="28.35" hidden="false" customHeight="false" outlineLevel="0" collapsed="false">
      <c r="A14" s="3" t="n">
        <v>12</v>
      </c>
      <c r="B14" s="3" t="s">
        <v>61</v>
      </c>
      <c r="C14" s="4" t="s">
        <v>62</v>
      </c>
      <c r="D14" s="3" t="s">
        <v>63</v>
      </c>
      <c r="E14" s="3" t="s">
        <v>64</v>
      </c>
      <c r="F14" s="5" t="n">
        <v>1</v>
      </c>
      <c r="G14" s="6" t="n">
        <v>0.01</v>
      </c>
      <c r="H14" s="7" t="n">
        <f aca="false">F14*G14</f>
        <v>0.01</v>
      </c>
      <c r="I14" s="3" t="s">
        <v>21</v>
      </c>
      <c r="J14" s="4" t="s">
        <v>65</v>
      </c>
    </row>
    <row r="15" customFormat="false" ht="15" hidden="false" customHeight="false" outlineLevel="0" collapsed="false">
      <c r="A15" s="3" t="n">
        <v>13</v>
      </c>
      <c r="B15" s="3" t="s">
        <v>66</v>
      </c>
      <c r="C15" s="4" t="s">
        <v>67</v>
      </c>
      <c r="D15" s="3" t="s">
        <v>68</v>
      </c>
      <c r="E15" s="3" t="s">
        <v>64</v>
      </c>
      <c r="F15" s="5" t="n">
        <v>2</v>
      </c>
      <c r="G15" s="6" t="n">
        <v>0.005</v>
      </c>
      <c r="H15" s="7" t="n">
        <f aca="false">F15*G15</f>
        <v>0.01</v>
      </c>
      <c r="I15" s="3" t="s">
        <v>21</v>
      </c>
      <c r="J15" s="4"/>
    </row>
    <row r="16" customFormat="false" ht="15" hidden="false" customHeight="false" outlineLevel="0" collapsed="false">
      <c r="A16" s="3" t="n">
        <v>14</v>
      </c>
      <c r="B16" s="3" t="s">
        <v>69</v>
      </c>
      <c r="C16" s="4" t="s">
        <v>70</v>
      </c>
      <c r="D16" s="3" t="s">
        <v>68</v>
      </c>
      <c r="E16" s="3" t="s">
        <v>64</v>
      </c>
      <c r="F16" s="5" t="n">
        <v>8</v>
      </c>
      <c r="G16" s="6" t="n">
        <v>0.01</v>
      </c>
      <c r="H16" s="7" t="n">
        <f aca="false">F16*G16</f>
        <v>0.08</v>
      </c>
      <c r="I16" s="3" t="s">
        <v>21</v>
      </c>
      <c r="J16" s="4" t="s">
        <v>71</v>
      </c>
    </row>
    <row r="17" customFormat="false" ht="15" hidden="false" customHeight="false" outlineLevel="0" collapsed="false">
      <c r="A17" s="3" t="n">
        <v>15</v>
      </c>
      <c r="B17" s="3" t="s">
        <v>72</v>
      </c>
      <c r="C17" s="4" t="s">
        <v>73</v>
      </c>
      <c r="D17" s="3" t="s">
        <v>74</v>
      </c>
      <c r="E17" s="3" t="s">
        <v>20</v>
      </c>
      <c r="F17" s="5" t="n">
        <v>1</v>
      </c>
      <c r="G17" s="6" t="n">
        <v>4.5</v>
      </c>
      <c r="H17" s="7" t="n">
        <f aca="false">F17*G17</f>
        <v>4.5</v>
      </c>
      <c r="I17" s="3" t="s">
        <v>75</v>
      </c>
      <c r="J17" s="4" t="s">
        <v>76</v>
      </c>
    </row>
    <row r="18" customFormat="false" ht="28.35" hidden="false" customHeight="false" outlineLevel="0" collapsed="false">
      <c r="A18" s="3" t="n">
        <v>16</v>
      </c>
      <c r="B18" s="3" t="s">
        <v>77</v>
      </c>
      <c r="C18" s="4" t="s">
        <v>78</v>
      </c>
      <c r="D18" s="3" t="s">
        <v>79</v>
      </c>
      <c r="E18" s="3" t="s">
        <v>80</v>
      </c>
      <c r="F18" s="5" t="n">
        <v>1</v>
      </c>
      <c r="G18" s="6" t="n">
        <v>0.1</v>
      </c>
      <c r="H18" s="7" t="n">
        <f aca="false">F18*G18</f>
        <v>0.1</v>
      </c>
      <c r="I18" s="3" t="s">
        <v>21</v>
      </c>
      <c r="J18" s="4" t="s">
        <v>81</v>
      </c>
    </row>
    <row r="19" customFormat="false" ht="15" hidden="false" customHeight="false" outlineLevel="0" collapsed="false">
      <c r="A19" s="3" t="n">
        <v>17</v>
      </c>
      <c r="B19" s="3" t="s">
        <v>82</v>
      </c>
      <c r="C19" s="4" t="s">
        <v>83</v>
      </c>
      <c r="D19" s="3" t="s">
        <v>84</v>
      </c>
      <c r="E19" s="3" t="s">
        <v>20</v>
      </c>
      <c r="F19" s="5" t="n">
        <v>1</v>
      </c>
      <c r="G19" s="6" t="n">
        <v>0.4</v>
      </c>
      <c r="H19" s="7" t="n">
        <f aca="false">F19*G19</f>
        <v>0.4</v>
      </c>
      <c r="I19" s="3" t="s">
        <v>21</v>
      </c>
      <c r="J19" s="4" t="s">
        <v>85</v>
      </c>
    </row>
    <row r="20" customFormat="false" ht="28.35" hidden="false" customHeight="false" outlineLevel="0" collapsed="false">
      <c r="A20" s="3" t="n">
        <v>18</v>
      </c>
      <c r="B20" s="3" t="s">
        <v>20</v>
      </c>
      <c r="C20" s="4" t="s">
        <v>86</v>
      </c>
      <c r="D20" s="3" t="s">
        <v>24</v>
      </c>
      <c r="E20" s="3" t="s">
        <v>20</v>
      </c>
      <c r="F20" s="5" t="n">
        <v>1</v>
      </c>
      <c r="G20" s="6" t="n">
        <v>2</v>
      </c>
      <c r="H20" s="7" t="n">
        <f aca="false">F20*G20</f>
        <v>2</v>
      </c>
      <c r="I20" s="3" t="s">
        <v>25</v>
      </c>
      <c r="J20" s="4" t="s">
        <v>87</v>
      </c>
    </row>
    <row r="21" customFormat="false" ht="15" hidden="false" customHeight="false" outlineLevel="0" collapsed="false">
      <c r="A21" s="2" t="s">
        <v>88</v>
      </c>
      <c r="B21" s="2"/>
      <c r="C21" s="2"/>
      <c r="D21" s="2"/>
      <c r="E21" s="2"/>
      <c r="F21" s="2"/>
      <c r="G21" s="2"/>
      <c r="H21" s="2"/>
      <c r="I21" s="2"/>
      <c r="J21" s="2"/>
    </row>
    <row r="22" customFormat="false" ht="15" hidden="false" customHeight="false" outlineLevel="0" collapsed="false">
      <c r="A22" s="3" t="n">
        <v>20</v>
      </c>
      <c r="B22" s="3" t="s">
        <v>20</v>
      </c>
      <c r="C22" s="4" t="s">
        <v>89</v>
      </c>
      <c r="D22" s="3" t="s">
        <v>90</v>
      </c>
      <c r="E22" s="3" t="s">
        <v>20</v>
      </c>
      <c r="F22" s="5" t="n">
        <v>1</v>
      </c>
      <c r="G22" s="6" t="n">
        <v>35</v>
      </c>
      <c r="H22" s="7" t="n">
        <f aca="false">F22*G22</f>
        <v>35</v>
      </c>
      <c r="I22" s="3" t="s">
        <v>91</v>
      </c>
      <c r="J22" s="4" t="s">
        <v>92</v>
      </c>
    </row>
    <row r="23" customFormat="false" ht="15" hidden="false" customHeight="false" outlineLevel="0" collapsed="false">
      <c r="A23" s="3" t="n">
        <v>21</v>
      </c>
      <c r="B23" s="3" t="s">
        <v>20</v>
      </c>
      <c r="C23" s="4" t="s">
        <v>93</v>
      </c>
      <c r="D23" s="3" t="s">
        <v>90</v>
      </c>
      <c r="E23" s="3" t="s">
        <v>20</v>
      </c>
      <c r="F23" s="5" t="n">
        <v>1</v>
      </c>
      <c r="G23" s="6" t="n">
        <v>12</v>
      </c>
      <c r="H23" s="7" t="n">
        <f aca="false">F23*G23</f>
        <v>12</v>
      </c>
      <c r="I23" s="3" t="s">
        <v>91</v>
      </c>
      <c r="J23" s="4"/>
    </row>
    <row r="24" customFormat="false" ht="15" hidden="false" customHeight="false" outlineLevel="0" collapsed="false">
      <c r="A24" s="3" t="n">
        <v>22</v>
      </c>
      <c r="B24" s="3" t="s">
        <v>20</v>
      </c>
      <c r="C24" s="4" t="s">
        <v>94</v>
      </c>
      <c r="D24" s="3" t="s">
        <v>90</v>
      </c>
      <c r="E24" s="3" t="s">
        <v>20</v>
      </c>
      <c r="F24" s="5" t="n">
        <v>1</v>
      </c>
      <c r="G24" s="6" t="n">
        <v>6</v>
      </c>
      <c r="H24" s="7" t="n">
        <f aca="false">F24*G24</f>
        <v>6</v>
      </c>
      <c r="I24" s="3" t="s">
        <v>91</v>
      </c>
      <c r="J24" s="4" t="s">
        <v>95</v>
      </c>
    </row>
    <row r="25" customFormat="false" ht="28.35" hidden="false" customHeight="false" outlineLevel="0" collapsed="false">
      <c r="A25" s="3" t="n">
        <v>23</v>
      </c>
      <c r="B25" s="3" t="s">
        <v>20</v>
      </c>
      <c r="C25" s="4" t="s">
        <v>96</v>
      </c>
      <c r="D25" s="3" t="s">
        <v>97</v>
      </c>
      <c r="E25" s="3" t="s">
        <v>20</v>
      </c>
      <c r="F25" s="5" t="n">
        <v>1</v>
      </c>
      <c r="G25" s="6" t="n">
        <v>6</v>
      </c>
      <c r="H25" s="7" t="n">
        <f aca="false">F25*G25</f>
        <v>6</v>
      </c>
      <c r="I25" s="3" t="s">
        <v>75</v>
      </c>
      <c r="J25" s="4" t="s">
        <v>98</v>
      </c>
    </row>
    <row r="26" customFormat="false" ht="15" hidden="false" customHeight="false" outlineLevel="0" collapsed="false">
      <c r="A26" s="3" t="n">
        <v>24</v>
      </c>
      <c r="B26" s="3" t="s">
        <v>20</v>
      </c>
      <c r="C26" s="4" t="s">
        <v>99</v>
      </c>
      <c r="D26" s="3" t="s">
        <v>100</v>
      </c>
      <c r="E26" s="3" t="s">
        <v>20</v>
      </c>
      <c r="F26" s="5" t="n">
        <v>1</v>
      </c>
      <c r="G26" s="6" t="n">
        <v>6</v>
      </c>
      <c r="H26" s="7" t="n">
        <f aca="false">F26*G26</f>
        <v>6</v>
      </c>
      <c r="I26" s="3" t="s">
        <v>75</v>
      </c>
      <c r="J26" s="4" t="s">
        <v>101</v>
      </c>
    </row>
    <row r="27" customFormat="false" ht="15" hidden="false" customHeight="false" outlineLevel="0" collapsed="false">
      <c r="A27" s="3" t="n">
        <v>25</v>
      </c>
      <c r="B27" s="3" t="s">
        <v>20</v>
      </c>
      <c r="C27" s="4" t="s">
        <v>102</v>
      </c>
      <c r="D27" s="3" t="s">
        <v>90</v>
      </c>
      <c r="E27" s="3" t="s">
        <v>20</v>
      </c>
      <c r="F27" s="5" t="n">
        <v>1</v>
      </c>
      <c r="G27" s="6" t="n">
        <v>15</v>
      </c>
      <c r="H27" s="7" t="n">
        <f aca="false">F27*G27</f>
        <v>15</v>
      </c>
      <c r="I27" s="3" t="s">
        <v>75</v>
      </c>
      <c r="J27" s="4"/>
    </row>
    <row r="28" customFormat="false" ht="15" hidden="false" customHeight="false" outlineLevel="0" collapsed="false">
      <c r="A28" s="8"/>
      <c r="B28" s="8"/>
      <c r="C28" s="8"/>
      <c r="D28" s="8"/>
      <c r="E28" s="8"/>
      <c r="F28" s="8"/>
      <c r="G28" s="9" t="s">
        <v>103</v>
      </c>
      <c r="H28" s="10" t="n">
        <f aca="false">SUM(H3:H6)</f>
        <v>38.62</v>
      </c>
      <c r="I28" s="8"/>
      <c r="J28" s="8"/>
    </row>
    <row r="29" customFormat="false" ht="15" hidden="false" customHeight="false" outlineLevel="0" collapsed="false">
      <c r="A29" s="8"/>
      <c r="B29" s="8"/>
      <c r="C29" s="8"/>
      <c r="D29" s="8"/>
      <c r="E29" s="8"/>
      <c r="F29" s="8"/>
      <c r="G29" s="9" t="s">
        <v>104</v>
      </c>
      <c r="H29" s="10" t="n">
        <f aca="false">SUM(H8:H20)</f>
        <v>12.18</v>
      </c>
      <c r="I29" s="8"/>
      <c r="J29" s="8"/>
    </row>
    <row r="30" customFormat="false" ht="15" hidden="false" customHeight="false" outlineLevel="0" collapsed="false">
      <c r="A30" s="8"/>
      <c r="B30" s="8"/>
      <c r="C30" s="8"/>
      <c r="D30" s="8"/>
      <c r="E30" s="8"/>
      <c r="F30" s="8"/>
      <c r="G30" s="9" t="s">
        <v>105</v>
      </c>
      <c r="H30" s="10" t="n">
        <f aca="false">SUM(H22:H27)</f>
        <v>80</v>
      </c>
      <c r="I30" s="8"/>
      <c r="J30" s="8"/>
    </row>
    <row r="31" customFormat="false" ht="15" hidden="false" customHeight="false" outlineLevel="0" collapsed="false">
      <c r="A31" s="8"/>
      <c r="B31" s="8"/>
      <c r="C31" s="8"/>
      <c r="D31" s="8"/>
      <c r="E31" s="8"/>
      <c r="F31" s="8"/>
      <c r="G31" s="11" t="s">
        <v>106</v>
      </c>
      <c r="H31" s="12" t="n">
        <f aca="false">H28+H29+H30</f>
        <v>130.8</v>
      </c>
      <c r="I31" s="8"/>
      <c r="J31" s="8"/>
    </row>
    <row r="33" customFormat="false" ht="15" hidden="false" customHeight="false" outlineLevel="0" collapsed="false">
      <c r="A33" s="13" t="s">
        <v>107</v>
      </c>
      <c r="B33" s="13"/>
      <c r="C33" s="13"/>
      <c r="D33" s="13"/>
      <c r="E33" s="13"/>
      <c r="F33" s="13"/>
      <c r="G33" s="13"/>
      <c r="H33" s="13"/>
      <c r="I33" s="13"/>
      <c r="J33" s="13"/>
    </row>
    <row r="34" customFormat="false" ht="15" hidden="false" customHeight="false" outlineLevel="0" collapsed="false">
      <c r="A34" s="14" t="s">
        <v>108</v>
      </c>
      <c r="B34" s="14"/>
      <c r="C34" s="14"/>
      <c r="D34" s="14"/>
      <c r="E34" s="14"/>
      <c r="F34" s="14"/>
      <c r="G34" s="14"/>
      <c r="H34" s="14"/>
      <c r="I34" s="14"/>
      <c r="J34" s="14"/>
    </row>
    <row r="35" customFormat="false" ht="15" hidden="false" customHeight="false" outlineLevel="0" collapsed="false">
      <c r="A35" s="14" t="s">
        <v>109</v>
      </c>
      <c r="B35" s="14"/>
      <c r="C35" s="14"/>
      <c r="D35" s="14"/>
      <c r="E35" s="14"/>
      <c r="F35" s="14"/>
      <c r="G35" s="14"/>
      <c r="H35" s="14"/>
      <c r="I35" s="14"/>
      <c r="J35" s="14"/>
    </row>
    <row r="36" customFormat="false" ht="15" hidden="false" customHeight="false" outlineLevel="0" collapsed="false">
      <c r="A36" s="14" t="s">
        <v>110</v>
      </c>
      <c r="B36" s="14"/>
      <c r="C36" s="14"/>
      <c r="D36" s="14"/>
      <c r="E36" s="14"/>
      <c r="F36" s="14"/>
      <c r="G36" s="14"/>
      <c r="H36" s="14"/>
      <c r="I36" s="14"/>
      <c r="J36" s="14"/>
    </row>
    <row r="37" customFormat="false" ht="15" hidden="false" customHeight="false" outlineLevel="0" collapsed="false">
      <c r="A37" s="14" t="s">
        <v>111</v>
      </c>
      <c r="B37" s="14"/>
      <c r="C37" s="14"/>
      <c r="D37" s="14"/>
      <c r="E37" s="14"/>
      <c r="F37" s="14"/>
      <c r="G37" s="14"/>
      <c r="H37" s="14"/>
      <c r="I37" s="14"/>
      <c r="J37" s="14"/>
    </row>
    <row r="38" customFormat="false" ht="15" hidden="false" customHeight="false" outlineLevel="0" collapsed="false">
      <c r="A38" s="14" t="s">
        <v>112</v>
      </c>
      <c r="B38" s="14"/>
      <c r="C38" s="14"/>
      <c r="D38" s="14"/>
      <c r="E38" s="14"/>
      <c r="F38" s="14"/>
      <c r="G38" s="14"/>
      <c r="H38" s="14"/>
      <c r="I38" s="14"/>
      <c r="J38" s="14"/>
    </row>
    <row r="39" customFormat="false" ht="15" hidden="false" customHeight="false" outlineLevel="0" collapsed="false">
      <c r="A39" s="14" t="s">
        <v>113</v>
      </c>
      <c r="B39" s="14"/>
      <c r="C39" s="14"/>
      <c r="D39" s="14"/>
      <c r="E39" s="14"/>
      <c r="F39" s="14"/>
      <c r="G39" s="14"/>
      <c r="H39" s="14"/>
      <c r="I39" s="14"/>
      <c r="J39" s="14"/>
    </row>
    <row r="40" customFormat="false" ht="15" hidden="false" customHeight="false" outlineLevel="0" collapsed="false">
      <c r="A40" s="14" t="s">
        <v>114</v>
      </c>
      <c r="B40" s="14"/>
      <c r="C40" s="14"/>
      <c r="D40" s="14"/>
      <c r="E40" s="14"/>
      <c r="F40" s="14"/>
      <c r="G40" s="14"/>
      <c r="H40" s="14"/>
      <c r="I40" s="14"/>
      <c r="J40" s="14"/>
    </row>
    <row r="41" customFormat="false" ht="15" hidden="false" customHeight="false" outlineLevel="0" collapsed="false">
      <c r="A41" s="14" t="s">
        <v>115</v>
      </c>
      <c r="B41" s="14"/>
      <c r="C41" s="14"/>
      <c r="D41" s="14"/>
      <c r="E41" s="14"/>
      <c r="F41" s="14"/>
      <c r="G41" s="14"/>
      <c r="H41" s="14"/>
      <c r="I41" s="14"/>
      <c r="J41" s="14"/>
    </row>
  </sheetData>
  <mergeCells count="12">
    <mergeCell ref="A2:J2"/>
    <mergeCell ref="A7:J7"/>
    <mergeCell ref="A21:J21"/>
    <mergeCell ref="A33:J33"/>
    <mergeCell ref="A34:J34"/>
    <mergeCell ref="A35:J35"/>
    <mergeCell ref="A36:J36"/>
    <mergeCell ref="A37:J37"/>
    <mergeCell ref="A38:J38"/>
    <mergeCell ref="A39:J39"/>
    <mergeCell ref="A40:J40"/>
    <mergeCell ref="A41:J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2026-06-15T20:47:06Z</dcterms:created>
  <dc:creator>openpyxl</dc:creator>
  <dc:description/>
  <dc:language>en-US</dc:language>
  <cp:lastModifiedBy/>
  <dcterms:modified xsi:type="dcterms:W3CDTF">2026-06-15T20:47:06Z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